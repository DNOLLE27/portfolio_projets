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BTS1\AP\AP Bloc 2 (SLAM)\AP1 Digicode - élève 1 (NOLLE Damien BTS1)\"/>
    </mc:Choice>
  </mc:AlternateContent>
  <xr:revisionPtr revIDLastSave="0" documentId="13_ncr:1_{F08FD5A4-66C6-497B-97E9-955ABD2F662F}" xr6:coauthVersionLast="36" xr6:coauthVersionMax="36" xr10:uidLastSave="{00000000-0000-0000-0000-000000000000}"/>
  <bookViews>
    <workbookView xWindow="0" yWindow="0" windowWidth="23448" windowHeight="10512" xr2:uid="{00000000-000D-0000-FFFF-FFFF00000000}"/>
  </bookViews>
  <sheets>
    <sheet name="Gantt" sheetId="1" r:id="rId1"/>
    <sheet name="BDD" sheetId="2" r:id="rId2"/>
  </sheets>
  <definedNames>
    <definedName name="Equipier" localSheetId="1">BDD!$B$2:$B$5</definedName>
    <definedName name="Equipier">BDD!$B$2:$B$5</definedName>
    <definedName name="ListeEquipier">BDD!$B$2:$B$5</definedName>
  </definedNames>
  <calcPr calcId="162913" calcMode="manual"/>
  <customWorkbookViews>
    <customWorkbookView name="dalliers - Affichage personnalisé" guid="{78312A73-AC8F-479B-A6DF-CEE5C8926EBB}" mergeInterval="0" personalView="1" maximized="1" xWindow="-8" yWindow="-8" windowWidth="1696" windowHeight="102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<sst xmlns="http://schemas.openxmlformats.org/spreadsheetml/2006/main" count="106" uniqueCount="51">
  <si>
    <t>Date
début</t>
  </si>
  <si>
    <t>Heure début</t>
  </si>
  <si>
    <t>Date
fin</t>
  </si>
  <si>
    <t>Activité</t>
  </si>
  <si>
    <t>Equipier</t>
  </si>
  <si>
    <t>Temps / heure</t>
  </si>
  <si>
    <t>Nb Séances</t>
  </si>
  <si>
    <t>Date de départ</t>
  </si>
  <si>
    <t>N° Equipier</t>
  </si>
  <si>
    <t>Nom</t>
  </si>
  <si>
    <t>Prévisionnel</t>
  </si>
  <si>
    <t>Réel</t>
  </si>
  <si>
    <t>Planning</t>
  </si>
  <si>
    <t>Générer Calendrier</t>
  </si>
  <si>
    <t>Nouvelle activité</t>
  </si>
  <si>
    <t>Générer Planning</t>
  </si>
  <si>
    <t>PROJET :</t>
  </si>
  <si>
    <t xml:space="preserve">Groupe : </t>
  </si>
  <si>
    <t xml:space="preserve">Chef de projet : </t>
  </si>
  <si>
    <t>Equipier 5</t>
  </si>
  <si>
    <t>Equipier 6</t>
  </si>
  <si>
    <t>Damien</t>
  </si>
  <si>
    <t>Clément</t>
  </si>
  <si>
    <t>Thomas</t>
  </si>
  <si>
    <t>Thomas/Damien</t>
  </si>
  <si>
    <t>AP1 : Digicode</t>
  </si>
  <si>
    <t>NOLLE Damien</t>
  </si>
  <si>
    <t>Heure
fin</t>
  </si>
  <si>
    <t>2/ Création interface de connexion</t>
  </si>
  <si>
    <t>3/ Programmation connexion (Lecture fichier)</t>
  </si>
  <si>
    <t>4/ Création interface de cryptage</t>
  </si>
  <si>
    <t>5/ Mise en place des contrôles de validité</t>
  </si>
  <si>
    <t>6/ Programmation cryptage des mots de passes</t>
  </si>
  <si>
    <t>7/ Mise en place des alertes</t>
  </si>
  <si>
    <t>8/ Création interface accès bâtiment</t>
  </si>
  <si>
    <t>9/ Création interface accès salle info</t>
  </si>
  <si>
    <t>10/ Création interface menu</t>
  </si>
  <si>
    <t>11/ Création interface liste d'erreurs</t>
  </si>
  <si>
    <t>12/ Simulation accès bâtiment</t>
  </si>
  <si>
    <t>13/ Simulation accès salle info</t>
  </si>
  <si>
    <t>14/ Enregistrement des erreurs</t>
  </si>
  <si>
    <t>15/ Création interface interface consultation liste diffusion</t>
  </si>
  <si>
    <t>16/ Mise en place liste de diffusion</t>
  </si>
  <si>
    <t>17/ Création interface de modification</t>
  </si>
  <si>
    <t>18/ Gestion ajout, suppression, modification liste</t>
  </si>
  <si>
    <t>Séance  1</t>
  </si>
  <si>
    <t>Séance  2</t>
  </si>
  <si>
    <t>Séance  3</t>
  </si>
  <si>
    <t>Diagramme de Gantt</t>
  </si>
  <si>
    <t>2 bis/ Création interface de connexion</t>
  </si>
  <si>
    <t>3 bis/ Programmation connexion (Lecture fichier)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</si>
</sst>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14" x14ac:knownFonts="1">
    <font>
      <sz val="11"/>
      <color theme="1"/>
      <name val="Calibri"/>
      <family val="2"/>
      <scheme val="minor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8" tint="-0.249977111117893"/>
      <name val="Arial"/>
      <family val="2"/>
    </font>
    <font>
      <sz val="8"/>
      <color theme="4" tint="-0.249977111117893"/>
      <name val="Arial"/>
      <family val="2"/>
    </font>
    <font>
      <sz val="8"/>
      <color theme="4" tint="-0.249977111117893"/>
      <name val="Calibri"/>
      <family val="2"/>
      <scheme val="minor"/>
    </font>
    <font>
      <b/>
      <i/>
      <sz val="9"/>
      <color theme="0"/>
      <name val="Arial"/>
      <family val="2"/>
    </font>
    <font>
      <b/>
      <sz val="8"/>
      <name val="Arial"/>
      <family val="2"/>
    </font>
    <font>
      <i/>
      <sz val="14"/>
      <color theme="0"/>
      <name val="Arial"/>
      <family val="2"/>
    </font>
    <font>
      <i/>
      <sz val="11"/>
      <color theme="0"/>
      <name val="Arial"/>
      <family val="2"/>
    </font>
    <font>
      <sz val="8"/>
      <color rgb="FFFFFFFF"/>
      <name val="Arial"/>
      <family val="2"/>
    </font>
    <font>
      <sz val="18"/>
      <color rgb="FFFFFF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F9ED7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  <fill>
      <patternFill patternType="lightUp">
        <bgColor rgb="FF9BC2E6"/>
      </patternFill>
    </fill>
    <fill>
      <patternFill patternType="lightUp">
        <bgColor rgb="FFC6E0B4"/>
      </patternFill>
    </fill>
    <fill>
      <patternFill patternType="lightUp">
        <bgColor rgb="FFFFE699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FFFFFF"/>
      </left>
      <right/>
      <top/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164" fontId="3" fillId="5" borderId="10" xfId="0" applyNumberFormat="1" applyFont="1" applyFill="1" applyBorder="1" applyAlignment="1" applyProtection="1">
      <alignment horizontal="center" vertical="center"/>
      <protection locked="0"/>
    </xf>
    <xf numFmtId="165" fontId="3" fillId="5" borderId="10" xfId="0" applyNumberFormat="1" applyFont="1" applyFill="1" applyBorder="1" applyAlignment="1" applyProtection="1">
      <alignment horizontal="center" vertical="center"/>
      <protection locked="0"/>
    </xf>
    <xf numFmtId="164" fontId="3" fillId="6" borderId="11" xfId="0" applyNumberFormat="1" applyFont="1" applyFill="1" applyBorder="1" applyAlignment="1" applyProtection="1">
      <alignment horizontal="center" vertical="center"/>
      <protection locked="0"/>
    </xf>
    <xf numFmtId="165" fontId="3" fillId="6" borderId="11" xfId="0" applyNumberFormat="1" applyFont="1" applyFill="1" applyBorder="1" applyAlignment="1" applyProtection="1">
      <alignment horizontal="center" vertical="center"/>
      <protection locked="0"/>
    </xf>
    <xf numFmtId="0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11" fillId="3" borderId="0" xfId="0" applyFont="1" applyFill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164" fontId="5" fillId="5" borderId="12" xfId="0" applyNumberFormat="1" applyFont="1" applyFill="1" applyBorder="1" applyAlignment="1" applyProtection="1">
      <alignment horizontal="left" vertical="center"/>
      <protection locked="0"/>
    </xf>
    <xf numFmtId="164" fontId="5" fillId="6" borderId="8" xfId="0" applyNumberFormat="1" applyFont="1" applyFill="1" applyBorder="1" applyAlignment="1" applyProtection="1">
      <alignment horizontal="left" vertical="center"/>
      <protection locked="0"/>
    </xf>
    <xf numFmtId="18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1" fillId="4" borderId="13" xfId="0" applyFont="1" applyFill="1" applyBorder="1" applyAlignment="1" applyProtection="1">
      <alignment horizontal="center" vertical="center" wrapText="1"/>
    </xf>
    <xf numFmtId="0" fontId="0" fillId="3" borderId="0" xfId="0" applyFill="1" applyProtection="1"/>
    <xf numFmtId="0" fontId="8" fillId="3" borderId="0" xfId="0" applyFont="1" applyFill="1" applyProtection="1"/>
    <xf numFmtId="0" fontId="0" fillId="3" borderId="0" xfId="0" applyFill="1" applyBorder="1" applyProtection="1"/>
    <xf numFmtId="0" fontId="8" fillId="3" borderId="0" xfId="0" applyFont="1" applyFill="1" applyAlignment="1" applyProtection="1">
      <alignment vertical="top"/>
    </xf>
    <xf numFmtId="20" fontId="3" fillId="3" borderId="0" xfId="0" applyNumberFormat="1" applyFont="1" applyFill="1" applyAlignment="1" applyProtection="1">
      <alignment horizontal="center" textRotation="90"/>
    </xf>
    <xf numFmtId="164" fontId="6" fillId="3" borderId="0" xfId="0" applyNumberFormat="1" applyFont="1" applyFill="1" applyAlignment="1" applyProtection="1">
      <alignment horizontal="left"/>
    </xf>
    <xf numFmtId="165" fontId="7" fillId="3" borderId="0" xfId="0" applyNumberFormat="1" applyFont="1" applyFill="1" applyAlignment="1" applyProtection="1">
      <alignment horizontal="left"/>
    </xf>
    <xf numFmtId="0" fontId="10" fillId="3" borderId="0" xfId="0" applyFont="1" applyFill="1" applyProtection="1"/>
    <xf numFmtId="0" fontId="11" fillId="3" borderId="0" xfId="0" applyFont="1" applyFill="1" applyProtection="1"/>
    <xf numFmtId="0" fontId="11" fillId="3" borderId="0" xfId="0" applyFont="1" applyFill="1" applyAlignment="1" applyProtection="1">
      <alignment vertical="top"/>
    </xf>
    <xf numFmtId="0" fontId="2" fillId="2" borderId="2" xfId="0" applyFont="1" applyFill="1" applyBorder="1" applyAlignment="1" applyProtection="1">
      <alignment horizontal="center" vertical="center" wrapText="1"/>
    </xf>
    <xf numFmtId="0" fontId="4" fillId="0" borderId="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164" fontId="3" fillId="6" borderId="7" xfId="0" applyNumberFormat="1" applyFont="1" applyFill="1" applyBorder="1" applyAlignment="1" applyProtection="1">
      <alignment horizontal="center" vertical="center"/>
      <protection locked="0"/>
    </xf>
    <xf numFmtId="164" fontId="3" fillId="5" borderId="12" xfId="0" applyNumberFormat="1" applyFont="1" applyFill="1" applyBorder="1" applyAlignment="1" applyProtection="1">
      <alignment horizontal="center" vertical="center"/>
      <protection locked="0"/>
    </xf>
    <xf numFmtId="164" fontId="3" fillId="6" borderId="8" xfId="0" applyNumberFormat="1" applyFont="1" applyFill="1" applyBorder="1" applyAlignment="1" applyProtection="1">
      <alignment horizontal="center" vertical="center"/>
      <protection locked="0"/>
    </xf>
    <xf numFmtId="0" fontId="0" fillId="8" borderId="0" xfId="0" applyFill="1" applyProtection="1">
      <protection locked="0"/>
    </xf>
    <xf numFmtId="0" fontId="0" fillId="10" borderId="16" xfId="0" applyFill="1" applyBorder="1" applyProtection="1">
      <protection locked="0"/>
    </xf>
    <xf numFmtId="0" fontId="0" fillId="11" borderId="15" xfId="0" applyFill="1" applyBorder="1" applyProtection="1">
      <protection locked="0"/>
    </xf>
    <xf numFmtId="0" fontId="0" fillId="11" borderId="0" xfId="0" applyFill="1" applyProtection="1">
      <protection locked="0"/>
    </xf>
    <xf numFmtId="0" fontId="0" fillId="12" borderId="16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1" xfId="0" applyFill="1" applyBorder="1" applyProtection="1">
      <protection locked="0"/>
    </xf>
    <xf numFmtId="0" fontId="0" fillId="12" borderId="22" xfId="0" applyFill="1" applyBorder="1" applyProtection="1">
      <protection locked="0"/>
    </xf>
    <xf numFmtId="0" fontId="0" fillId="12" borderId="23" xfId="0" applyFill="1" applyBorder="1" applyProtection="1">
      <protection locked="0"/>
    </xf>
    <xf numFmtId="14" fontId="3" fillId="10" borderId="17" xfId="0" applyNumberFormat="1" applyFont="1" applyFill="1" applyBorder="1" applyAlignment="1" applyProtection="1">
      <alignment textRotation="60"/>
      <protection locked="0"/>
    </xf>
    <xf numFmtId="20" fontId="3" fillId="11" borderId="23" xfId="0" applyNumberFormat="1" applyFont="1" applyFill="1" applyBorder="1" applyAlignment="1" applyProtection="1">
      <alignment horizontal="left" textRotation="90"/>
      <protection locked="0"/>
    </xf>
    <xf numFmtId="20" fontId="3" fillId="11" borderId="24" xfId="0" applyNumberFormat="1" applyFont="1" applyFill="1" applyBorder="1" applyAlignment="1" applyProtection="1">
      <alignment horizontal="left" textRotation="90"/>
      <protection locked="0"/>
    </xf>
    <xf numFmtId="20" fontId="3" fillId="11" borderId="25" xfId="0" applyNumberFormat="1" applyFont="1" applyFill="1" applyBorder="1" applyAlignment="1" applyProtection="1">
      <alignment horizontal="left" textRotation="90"/>
      <protection locked="0"/>
    </xf>
    <xf numFmtId="0" fontId="0" fillId="12" borderId="26" xfId="0" applyFill="1" applyBorder="1" applyProtection="1">
      <protection locked="0"/>
    </xf>
    <xf numFmtId="0" fontId="0" fillId="12" borderId="27" xfId="0" applyFill="1" applyBorder="1" applyProtection="1">
      <protection locked="0"/>
    </xf>
    <xf numFmtId="0" fontId="0" fillId="13" borderId="16" xfId="0" applyFill="1" applyBorder="1" applyProtection="1">
      <protection locked="0"/>
    </xf>
    <xf numFmtId="0" fontId="0" fillId="13" borderId="0" xfId="0" applyFill="1" applyBorder="1" applyProtection="1">
      <protection locked="0"/>
    </xf>
    <xf numFmtId="0" fontId="0" fillId="14" borderId="0" xfId="0" applyFill="1" applyBorder="1" applyProtection="1">
      <protection locked="0"/>
    </xf>
    <xf numFmtId="0" fontId="0" fillId="15" borderId="0" xfId="0" applyFill="1" applyBorder="1" applyProtection="1">
      <protection locked="0"/>
    </xf>
    <xf numFmtId="0" fontId="0" fillId="16" borderId="22" xfId="0" applyFill="1" applyBorder="1" applyProtection="1">
      <protection locked="0"/>
    </xf>
    <xf numFmtId="0" fontId="0" fillId="16" borderId="21" xfId="0" applyFill="1" applyBorder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164" fontId="0" fillId="18" borderId="23" xfId="0" applyNumberFormat="1" applyFill="1" applyBorder="1" applyProtection="1">
      <protection locked="0"/>
    </xf>
    <xf numFmtId="0" fontId="0" fillId="18" borderId="21" xfId="0" applyFill="1" applyBorder="1" applyProtection="1">
      <protection locked="0"/>
    </xf>
    <xf numFmtId="0" fontId="0" fillId="18" borderId="23" xfId="0" applyFill="1" applyBorder="1" applyProtection="1">
      <protection locked="0"/>
    </xf>
    <xf numFmtId="0" fontId="0" fillId="18" borderId="0" xfId="0" applyFill="1" applyProtection="1">
      <protection locked="0"/>
    </xf>
    <xf numFmtId="0" fontId="0" fillId="16" borderId="23" xfId="0" applyFill="1" applyBorder="1" applyProtection="1">
      <protection locked="0"/>
    </xf>
    <xf numFmtId="0" fontId="0" fillId="17" borderId="21" xfId="0" applyFill="1" applyBorder="1" applyProtection="1">
      <protection locked="0"/>
    </xf>
    <xf numFmtId="0" fontId="0" fillId="17" borderId="23" xfId="0" applyFill="1" applyBorder="1" applyProtection="1">
      <protection locked="0"/>
    </xf>
    <xf numFmtId="165" fontId="3" fillId="6" borderId="7" xfId="0" applyNumberFormat="1" applyFont="1" applyFill="1" applyBorder="1" applyAlignment="1" applyProtection="1">
      <alignment horizontal="center" vertical="center"/>
      <protection locked="0"/>
    </xf>
    <xf numFmtId="0" fontId="0" fillId="14" borderId="26" xfId="0" applyFill="1" applyBorder="1" applyProtection="1">
      <protection locked="0"/>
    </xf>
    <xf numFmtId="0" fontId="0" fillId="13" borderId="26" xfId="0" applyFill="1" applyBorder="1" applyProtection="1">
      <protection locked="0"/>
    </xf>
    <xf numFmtId="0" fontId="0" fillId="17" borderId="27" xfId="0" applyFill="1" applyBorder="1" applyProtection="1">
      <protection locked="0"/>
    </xf>
    <xf numFmtId="0" fontId="0" fillId="18" borderId="27" xfId="0" applyFill="1" applyBorder="1" applyProtection="1">
      <protection locked="0"/>
    </xf>
    <xf numFmtId="0" fontId="0" fillId="16" borderId="27" xfId="0" applyFill="1" applyBorder="1" applyProtection="1">
      <protection locked="0"/>
    </xf>
    <xf numFmtId="0" fontId="12" fillId="9" borderId="20" xfId="0" applyFont="1" applyFill="1" applyBorder="1" applyAlignment="1" applyProtection="1">
      <alignment horizontal="center" vertical="center"/>
      <protection locked="0"/>
    </xf>
    <xf numFmtId="0" fontId="0" fillId="9" borderId="19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13" fillId="8" borderId="0" xfId="0" applyFont="1" applyFill="1" applyAlignment="1" applyProtection="1">
      <alignment horizontal="center" vertical="center"/>
      <protection locked="0"/>
    </xf>
    <xf numFmtId="0" fontId="13" fillId="8" borderId="0" xfId="0" applyFont="1" applyFill="1" applyAlignment="1">
      <alignment horizontal="center" vertical="center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  <color rgb="FFED4437"/>
      <color rgb="FF5F9ED7"/>
      <color rgb="FFFFD966"/>
      <color rgb="FF000000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3</xdr:row>
      <xdr:rowOff>85725</xdr:rowOff>
    </xdr:from>
    <xdr:to>
      <xdr:col>4</xdr:col>
      <xdr:colOff>509905</xdr:colOff>
      <xdr:row>4</xdr:row>
      <xdr:rowOff>373380</xdr:rowOff>
    </xdr:to>
    <xdr:pic macro="[0]!Bouton3_Cliquer"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275" y="657225"/>
          <a:ext cx="443230" cy="485775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</xdr:colOff>
      <xdr:row>0</xdr:row>
      <xdr:rowOff>66675</xdr:rowOff>
    </xdr:from>
    <xdr:to>
      <xdr:col>4</xdr:col>
      <xdr:colOff>520065</xdr:colOff>
      <xdr:row>2</xdr:row>
      <xdr:rowOff>171450</xdr:rowOff>
    </xdr:to>
    <xdr:pic macro="[0]!Bouton1_Cliquer"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62275" y="66675"/>
          <a:ext cx="453390" cy="485775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</xdr:colOff>
      <xdr:row>4</xdr:row>
      <xdr:rowOff>495300</xdr:rowOff>
    </xdr:from>
    <xdr:to>
      <xdr:col>4</xdr:col>
      <xdr:colOff>516890</xdr:colOff>
      <xdr:row>6</xdr:row>
      <xdr:rowOff>238125</xdr:rowOff>
    </xdr:to>
    <xdr:pic macro="[0]!Bouton15_Cliquer"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1325" y="1266825"/>
          <a:ext cx="431165" cy="476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CC52"/>
  <sheetViews>
    <sheetView tabSelected="1" zoomScale="85" zoomScaleNormal="85" workbookViewId="0">
      <selection activeCell="I9" sqref="I9:CB46"/>
    </sheetView>
  </sheetViews>
  <sheetFormatPr baseColWidth="10" defaultColWidth="11.33203125" defaultRowHeight="14.4" x14ac:dyDescent="0.3"/>
  <cols>
    <col min="1" max="1" width="21.6640625" style="12" customWidth="1"/>
    <col min="2" max="2" width="17.6640625" style="12" customWidth="1"/>
    <col min="3" max="3" width="11.33203125" style="12"/>
    <col min="4" max="4" width="8.33203125" style="12" customWidth="1"/>
    <col min="5" max="5" width="8.88671875" style="12" customWidth="1"/>
    <col min="6" max="6" width="8.33203125" style="12" customWidth="1"/>
    <col min="7" max="7" width="9.33203125" style="12" customWidth="1"/>
    <col min="8" max="8" width="8.33203125" style="12" customWidth="1"/>
    <col min="9" max="80" width="2.77734375" style="12" customWidth="1"/>
    <col min="81" max="16384" width="11.33203125" style="12"/>
  </cols>
  <sheetData>
    <row r="1" spans="1:81" x14ac:dyDescent="0.3">
      <c r="A1" s="27">
        <v>6.9444444444444441E-3</v>
      </c>
      <c r="B1" s="14"/>
      <c r="C1" s="22"/>
      <c r="D1" s="22"/>
      <c r="E1" s="22"/>
      <c r="F1" s="22"/>
      <c r="G1" s="22"/>
      <c r="H1" s="22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</row>
    <row r="2" spans="1:81" ht="15" customHeight="1" x14ac:dyDescent="0.3">
      <c r="A2" s="28">
        <f>B7+(7*(A7-1))</f>
        <v>44581</v>
      </c>
      <c r="B2" s="14"/>
      <c r="C2" s="22"/>
      <c r="D2" s="22"/>
      <c r="E2" s="22"/>
      <c r="F2" s="23" t="s">
        <v>13</v>
      </c>
      <c r="G2" s="22"/>
      <c r="H2" s="23"/>
      <c r="I2" s="83" t="s">
        <v>48</v>
      </c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84"/>
    </row>
    <row r="3" spans="1:81" ht="15" customHeight="1" x14ac:dyDescent="0.35">
      <c r="A3" s="29" t="s">
        <v>16</v>
      </c>
      <c r="B3" s="9" t="s">
        <v>25</v>
      </c>
      <c r="C3" s="22"/>
      <c r="D3" s="23"/>
      <c r="E3" s="22"/>
      <c r="F3" s="22"/>
      <c r="G3" s="22"/>
      <c r="H3" s="22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  <c r="BP3" s="84"/>
      <c r="BQ3" s="84"/>
      <c r="BR3" s="84"/>
      <c r="BS3" s="84"/>
      <c r="BT3" s="84"/>
      <c r="BU3" s="84"/>
      <c r="BV3" s="84"/>
      <c r="BW3" s="84"/>
      <c r="BX3" s="84"/>
      <c r="BY3" s="84"/>
      <c r="BZ3" s="84"/>
      <c r="CA3" s="84"/>
      <c r="CB3" s="84"/>
    </row>
    <row r="4" spans="1:81" ht="15" thickBot="1" x14ac:dyDescent="0.35">
      <c r="A4" s="30" t="s">
        <v>17</v>
      </c>
      <c r="B4" s="10">
        <v>4</v>
      </c>
      <c r="C4" s="24"/>
      <c r="D4" s="22"/>
      <c r="E4" s="22"/>
      <c r="F4" s="22"/>
      <c r="G4" s="22"/>
      <c r="H4" s="22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</row>
    <row r="5" spans="1:81" ht="43.05" customHeight="1" x14ac:dyDescent="0.3">
      <c r="A5" s="31" t="s">
        <v>18</v>
      </c>
      <c r="B5" s="11" t="s">
        <v>26</v>
      </c>
      <c r="C5" s="24"/>
      <c r="D5" s="22"/>
      <c r="E5" s="22"/>
      <c r="F5" s="25" t="s">
        <v>15</v>
      </c>
      <c r="G5" s="22"/>
      <c r="H5" s="22"/>
      <c r="I5" s="53">
        <v>44567</v>
      </c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53">
        <v>44574</v>
      </c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53">
        <v>44581</v>
      </c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</row>
    <row r="6" spans="1:81" x14ac:dyDescent="0.3">
      <c r="A6" s="32" t="s">
        <v>6</v>
      </c>
      <c r="B6" s="32" t="s">
        <v>7</v>
      </c>
      <c r="C6" s="22"/>
      <c r="D6" s="22"/>
      <c r="E6" s="22"/>
      <c r="F6" s="22"/>
      <c r="G6" s="22"/>
      <c r="H6" s="22"/>
      <c r="I6" s="46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6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6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</row>
    <row r="7" spans="1:81" ht="27" customHeight="1" thickBot="1" x14ac:dyDescent="0.35">
      <c r="A7" s="7">
        <v>3</v>
      </c>
      <c r="B7" s="8">
        <v>44567</v>
      </c>
      <c r="C7" s="26"/>
      <c r="D7" s="22"/>
      <c r="E7" s="22"/>
      <c r="F7" s="25" t="s">
        <v>14</v>
      </c>
      <c r="G7" s="22"/>
      <c r="H7" s="22"/>
      <c r="I7" s="54">
        <v>0.56944444444444442</v>
      </c>
      <c r="J7" s="55">
        <v>0.57638888888888884</v>
      </c>
      <c r="K7" s="55">
        <v>0.58333333333333326</v>
      </c>
      <c r="L7" s="55">
        <v>0.59027777777777768</v>
      </c>
      <c r="M7" s="55">
        <v>0.5972222222222221</v>
      </c>
      <c r="N7" s="55">
        <v>0.60416666666666652</v>
      </c>
      <c r="O7" s="55">
        <v>0.61111111111111094</v>
      </c>
      <c r="P7" s="55">
        <v>0.61805555555555536</v>
      </c>
      <c r="Q7" s="55">
        <v>0.62499999999999978</v>
      </c>
      <c r="R7" s="55">
        <v>0.6319444444444442</v>
      </c>
      <c r="S7" s="55">
        <v>0.63888888888888862</v>
      </c>
      <c r="T7" s="55">
        <v>0.64583333333333304</v>
      </c>
      <c r="U7" s="55">
        <v>0.65277777777777746</v>
      </c>
      <c r="V7" s="55">
        <v>0.65972222222222188</v>
      </c>
      <c r="W7" s="55">
        <v>0.6666666666666663</v>
      </c>
      <c r="X7" s="55">
        <v>0.67361111111111072</v>
      </c>
      <c r="Y7" s="55">
        <v>0.68055555555555514</v>
      </c>
      <c r="Z7" s="55">
        <v>0.68749999999999956</v>
      </c>
      <c r="AA7" s="55">
        <v>0.69444444444444398</v>
      </c>
      <c r="AB7" s="55">
        <v>0.7013888888888884</v>
      </c>
      <c r="AC7" s="55">
        <v>0.70833333333333282</v>
      </c>
      <c r="AD7" s="55">
        <v>0.71527777777777724</v>
      </c>
      <c r="AE7" s="55">
        <v>0.72222222222222165</v>
      </c>
      <c r="AF7" s="56">
        <v>0.72916666666666607</v>
      </c>
      <c r="AG7" s="54">
        <v>0.56944444444444442</v>
      </c>
      <c r="AH7" s="55">
        <v>0.57638888888888884</v>
      </c>
      <c r="AI7" s="55">
        <v>0.58333333333333326</v>
      </c>
      <c r="AJ7" s="55">
        <v>0.59027777777777768</v>
      </c>
      <c r="AK7" s="55">
        <v>0.5972222222222221</v>
      </c>
      <c r="AL7" s="55">
        <v>0.60416666666666652</v>
      </c>
      <c r="AM7" s="55">
        <v>0.61111111111111094</v>
      </c>
      <c r="AN7" s="55">
        <v>0.61805555555555536</v>
      </c>
      <c r="AO7" s="55">
        <v>0.62499999999999978</v>
      </c>
      <c r="AP7" s="55">
        <v>0.6319444444444442</v>
      </c>
      <c r="AQ7" s="55">
        <v>0.63888888888888862</v>
      </c>
      <c r="AR7" s="55">
        <v>0.64583333333333304</v>
      </c>
      <c r="AS7" s="55">
        <v>0.65277777777777746</v>
      </c>
      <c r="AT7" s="55">
        <v>0.65972222222222188</v>
      </c>
      <c r="AU7" s="55">
        <v>0.6666666666666663</v>
      </c>
      <c r="AV7" s="55">
        <v>0.67361111111111072</v>
      </c>
      <c r="AW7" s="55">
        <v>0.68055555555555514</v>
      </c>
      <c r="AX7" s="55">
        <v>0.68749999999999956</v>
      </c>
      <c r="AY7" s="55">
        <v>0.69444444444444398</v>
      </c>
      <c r="AZ7" s="55">
        <v>0.7013888888888884</v>
      </c>
      <c r="BA7" s="55">
        <v>0.70833333333333282</v>
      </c>
      <c r="BB7" s="55">
        <v>0.71527777777777724</v>
      </c>
      <c r="BC7" s="55">
        <v>0.72222222222222165</v>
      </c>
      <c r="BD7" s="56">
        <v>0.72916666666666607</v>
      </c>
      <c r="BE7" s="54">
        <v>0.56944444444444442</v>
      </c>
      <c r="BF7" s="55">
        <v>0.57638888888888884</v>
      </c>
      <c r="BG7" s="55">
        <v>0.58333333333333326</v>
      </c>
      <c r="BH7" s="55">
        <v>0.59027777777777768</v>
      </c>
      <c r="BI7" s="55">
        <v>0.5972222222222221</v>
      </c>
      <c r="BJ7" s="55">
        <v>0.60416666666666652</v>
      </c>
      <c r="BK7" s="55">
        <v>0.61111111111111094</v>
      </c>
      <c r="BL7" s="55">
        <v>0.61805555555555536</v>
      </c>
      <c r="BM7" s="55">
        <v>0.62499999999999978</v>
      </c>
      <c r="BN7" s="55">
        <v>0.6319444444444442</v>
      </c>
      <c r="BO7" s="55">
        <v>0.63888888888888862</v>
      </c>
      <c r="BP7" s="55">
        <v>0.64583333333333304</v>
      </c>
      <c r="BQ7" s="55">
        <v>0.65277777777777746</v>
      </c>
      <c r="BR7" s="55">
        <v>0.65972222222222188</v>
      </c>
      <c r="BS7" s="55">
        <v>0.6666666666666663</v>
      </c>
      <c r="BT7" s="55">
        <v>0.67361111111111072</v>
      </c>
      <c r="BU7" s="55">
        <v>0.68055555555555514</v>
      </c>
      <c r="BV7" s="55">
        <v>0.68749999999999956</v>
      </c>
      <c r="BW7" s="55">
        <v>0.69444444444444398</v>
      </c>
      <c r="BX7" s="55">
        <v>0.7013888888888884</v>
      </c>
      <c r="BY7" s="55">
        <v>0.70833333333333282</v>
      </c>
      <c r="BZ7" s="55">
        <v>0.71527777777777724</v>
      </c>
      <c r="CA7" s="55">
        <v>0.72222222222222165</v>
      </c>
      <c r="CB7" s="55">
        <v>0.72916666666666607</v>
      </c>
    </row>
    <row r="8" spans="1:81" ht="21" thickBot="1" x14ac:dyDescent="0.35">
      <c r="A8" s="19" t="s">
        <v>3</v>
      </c>
      <c r="B8" s="20" t="s">
        <v>4</v>
      </c>
      <c r="C8" s="21" t="s">
        <v>12</v>
      </c>
      <c r="D8" s="20" t="s">
        <v>5</v>
      </c>
      <c r="E8" s="20" t="s">
        <v>0</v>
      </c>
      <c r="F8" s="20" t="s">
        <v>1</v>
      </c>
      <c r="G8" s="20" t="s">
        <v>2</v>
      </c>
      <c r="H8" s="21" t="s">
        <v>27</v>
      </c>
      <c r="I8" s="80" t="s">
        <v>45</v>
      </c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2"/>
      <c r="AG8" s="80" t="s">
        <v>46</v>
      </c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2"/>
      <c r="BE8" s="80" t="s">
        <v>47</v>
      </c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2"/>
    </row>
    <row r="9" spans="1:81" x14ac:dyDescent="0.3">
      <c r="A9" s="85" t="s">
        <v>28</v>
      </c>
      <c r="B9" s="87" t="s">
        <v>23</v>
      </c>
      <c r="C9" s="15" t="s">
        <v>10</v>
      </c>
      <c r="D9" s="3">
        <v>2.0833333333333332E-2</v>
      </c>
      <c r="E9" s="4">
        <v>44567</v>
      </c>
      <c r="F9" s="3">
        <v>0.56944444444444442</v>
      </c>
      <c r="G9" s="4">
        <v>44567</v>
      </c>
      <c r="H9" s="3">
        <v>0.59027777777777779</v>
      </c>
      <c r="I9" s="59"/>
      <c r="J9" s="59"/>
      <c r="K9" s="59"/>
      <c r="L9" s="59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57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57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8"/>
      <c r="BT9" s="48"/>
      <c r="BU9" s="48"/>
      <c r="BV9" s="48"/>
      <c r="BW9" s="48"/>
      <c r="BX9" s="48"/>
      <c r="BY9" s="48"/>
      <c r="BZ9" s="48"/>
      <c r="CA9" s="48"/>
      <c r="CB9" s="57"/>
    </row>
    <row r="10" spans="1:81" ht="15" thickBot="1" x14ac:dyDescent="0.35">
      <c r="A10" s="86"/>
      <c r="B10" s="88"/>
      <c r="C10" s="16" t="s">
        <v>11</v>
      </c>
      <c r="D10" s="41">
        <v>2.0833333333333332E-2</v>
      </c>
      <c r="E10" s="6">
        <v>44567</v>
      </c>
      <c r="F10" s="5">
        <v>0.56944444444444442</v>
      </c>
      <c r="G10" s="6">
        <v>44567</v>
      </c>
      <c r="H10" s="5">
        <v>0.59027777777777779</v>
      </c>
      <c r="I10" s="63"/>
      <c r="J10" s="64"/>
      <c r="K10" s="64"/>
      <c r="L10" s="64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8"/>
      <c r="AG10" s="52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8"/>
      <c r="BE10" s="52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8"/>
    </row>
    <row r="11" spans="1:81" x14ac:dyDescent="0.3">
      <c r="A11" s="85" t="s">
        <v>29</v>
      </c>
      <c r="B11" s="87" t="s">
        <v>23</v>
      </c>
      <c r="C11" s="15" t="s">
        <v>10</v>
      </c>
      <c r="D11" s="3">
        <v>6.25E-2</v>
      </c>
      <c r="E11" s="4">
        <v>44567</v>
      </c>
      <c r="F11" s="3">
        <v>0.59027777777777779</v>
      </c>
      <c r="G11" s="4">
        <v>44567</v>
      </c>
      <c r="H11" s="3">
        <v>0.65277777777777779</v>
      </c>
      <c r="I11" s="49"/>
      <c r="J11" s="49"/>
      <c r="K11" s="49"/>
      <c r="L11" s="60"/>
      <c r="M11" s="60"/>
      <c r="N11" s="60"/>
      <c r="O11" s="60"/>
      <c r="P11" s="60"/>
      <c r="Q11" s="60"/>
      <c r="R11" s="60"/>
      <c r="S11" s="60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7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57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57"/>
    </row>
    <row r="12" spans="1:81" ht="15" customHeight="1" thickBot="1" x14ac:dyDescent="0.35">
      <c r="A12" s="86"/>
      <c r="B12" s="88"/>
      <c r="C12" s="16" t="s">
        <v>11</v>
      </c>
      <c r="D12" s="41">
        <v>8.3333333333333329E-2</v>
      </c>
      <c r="E12" s="6">
        <v>44567</v>
      </c>
      <c r="F12" s="5">
        <v>0.59027777777777779</v>
      </c>
      <c r="G12" s="6">
        <v>44567</v>
      </c>
      <c r="H12" s="5">
        <v>0.67361111111111116</v>
      </c>
      <c r="I12" s="51"/>
      <c r="J12" s="50"/>
      <c r="K12" s="50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50"/>
      <c r="Z12" s="50"/>
      <c r="AA12" s="50"/>
      <c r="AB12" s="50"/>
      <c r="AC12" s="50"/>
      <c r="AD12" s="50"/>
      <c r="AE12" s="50"/>
      <c r="AF12" s="58"/>
      <c r="AG12" s="52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8"/>
      <c r="BE12" s="52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8"/>
      <c r="CC12" s="65"/>
    </row>
    <row r="13" spans="1:81" x14ac:dyDescent="0.3">
      <c r="A13" s="85" t="s">
        <v>30</v>
      </c>
      <c r="B13" s="87" t="s">
        <v>21</v>
      </c>
      <c r="C13" s="15" t="s">
        <v>10</v>
      </c>
      <c r="D13" s="3">
        <v>2.0833333333333332E-2</v>
      </c>
      <c r="E13" s="4">
        <v>44574</v>
      </c>
      <c r="F13" s="3">
        <v>0.56944444444444442</v>
      </c>
      <c r="G13" s="4">
        <v>44574</v>
      </c>
      <c r="H13" s="3">
        <v>0.59027777777777779</v>
      </c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7"/>
      <c r="AG13" s="61"/>
      <c r="AH13" s="61"/>
      <c r="AI13" s="61"/>
      <c r="AJ13" s="61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57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49"/>
      <c r="CA13" s="49"/>
      <c r="CB13" s="57"/>
    </row>
    <row r="14" spans="1:81" ht="15" customHeight="1" thickBot="1" x14ac:dyDescent="0.35">
      <c r="A14" s="86"/>
      <c r="B14" s="88"/>
      <c r="C14" s="16" t="s">
        <v>11</v>
      </c>
      <c r="D14" s="41">
        <v>2.7777777777777776E-2</v>
      </c>
      <c r="E14" s="6">
        <v>44574</v>
      </c>
      <c r="F14" s="43">
        <v>0.63194444444444442</v>
      </c>
      <c r="G14" s="74">
        <v>44574</v>
      </c>
      <c r="H14" s="43">
        <v>0.65972222222222221</v>
      </c>
      <c r="I14" s="52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8"/>
      <c r="AG14" s="52"/>
      <c r="AH14" s="50"/>
      <c r="AI14" s="50"/>
      <c r="AJ14" s="50"/>
      <c r="AK14" s="50"/>
      <c r="AL14" s="50"/>
      <c r="AM14" s="50"/>
      <c r="AN14" s="50"/>
      <c r="AO14" s="50"/>
      <c r="AP14" s="72"/>
      <c r="AQ14" s="72"/>
      <c r="AR14" s="72"/>
      <c r="AS14" s="72"/>
      <c r="AT14" s="72"/>
      <c r="AU14" s="50"/>
      <c r="AV14" s="50"/>
      <c r="AW14" s="50"/>
      <c r="AX14" s="50"/>
      <c r="AY14" s="50"/>
      <c r="AZ14" s="50"/>
      <c r="BA14" s="50"/>
      <c r="BB14" s="50"/>
      <c r="BC14" s="50"/>
      <c r="BD14" s="58"/>
      <c r="BE14" s="52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8"/>
      <c r="CC14" s="66"/>
    </row>
    <row r="15" spans="1:81" x14ac:dyDescent="0.3">
      <c r="A15" s="85" t="s">
        <v>31</v>
      </c>
      <c r="B15" s="87" t="s">
        <v>21</v>
      </c>
      <c r="C15" s="15" t="s">
        <v>10</v>
      </c>
      <c r="D15" s="3">
        <v>6.25E-2</v>
      </c>
      <c r="E15" s="4">
        <v>44574</v>
      </c>
      <c r="F15" s="3">
        <v>0.59027777777777779</v>
      </c>
      <c r="G15" s="4">
        <v>44574</v>
      </c>
      <c r="H15" s="42">
        <v>0.66666666666666663</v>
      </c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57"/>
      <c r="AG15" s="49"/>
      <c r="AH15" s="49"/>
      <c r="AI15" s="49"/>
      <c r="AJ15" s="61"/>
      <c r="AK15" s="61"/>
      <c r="AL15" s="61"/>
      <c r="AM15" s="61"/>
      <c r="AN15" s="61"/>
      <c r="AO15" s="61"/>
      <c r="AP15" s="61"/>
      <c r="AQ15" s="61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57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49"/>
      <c r="BP15" s="49"/>
      <c r="BQ15" s="49"/>
      <c r="BR15" s="49"/>
      <c r="BS15" s="49"/>
      <c r="BT15" s="49"/>
      <c r="BU15" s="49"/>
      <c r="BV15" s="49"/>
      <c r="BW15" s="49"/>
      <c r="BX15" s="49"/>
      <c r="BY15" s="49"/>
      <c r="BZ15" s="49"/>
      <c r="CA15" s="49"/>
      <c r="CB15" s="57"/>
    </row>
    <row r="16" spans="1:81" ht="15" thickBot="1" x14ac:dyDescent="0.35">
      <c r="A16" s="86"/>
      <c r="B16" s="88"/>
      <c r="C16" s="16" t="s">
        <v>11</v>
      </c>
      <c r="D16" s="41">
        <v>0.11805555555555557</v>
      </c>
      <c r="E16" s="6">
        <v>44574</v>
      </c>
      <c r="F16" s="5">
        <v>0.65972222222222221</v>
      </c>
      <c r="G16" s="6">
        <v>44581</v>
      </c>
      <c r="H16" s="43">
        <v>0.63888888888888895</v>
      </c>
      <c r="I16" s="52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8"/>
      <c r="AG16" s="52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7"/>
      <c r="BE16" s="73"/>
      <c r="BF16" s="72"/>
      <c r="BG16" s="72"/>
      <c r="BH16" s="72"/>
      <c r="BI16" s="72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8"/>
      <c r="CC16" s="66"/>
    </row>
    <row r="17" spans="1:81" x14ac:dyDescent="0.3">
      <c r="A17" s="85" t="s">
        <v>32</v>
      </c>
      <c r="B17" s="87" t="s">
        <v>21</v>
      </c>
      <c r="C17" s="15" t="s">
        <v>10</v>
      </c>
      <c r="D17" s="3">
        <v>0.10416666666666667</v>
      </c>
      <c r="E17" s="4">
        <v>44574</v>
      </c>
      <c r="F17" s="42">
        <v>0.66666666666666663</v>
      </c>
      <c r="G17" s="4">
        <v>44581</v>
      </c>
      <c r="H17" s="42">
        <v>0.61111111111111105</v>
      </c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57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61"/>
      <c r="AV17" s="61"/>
      <c r="AW17" s="61"/>
      <c r="AX17" s="61"/>
      <c r="AY17" s="61"/>
      <c r="AZ17" s="61"/>
      <c r="BA17" s="61"/>
      <c r="BB17" s="61"/>
      <c r="BC17" s="61"/>
      <c r="BD17" s="75"/>
      <c r="BE17" s="61"/>
      <c r="BF17" s="61"/>
      <c r="BG17" s="61"/>
      <c r="BH17" s="61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49"/>
      <c r="BY17" s="49"/>
      <c r="BZ17" s="49"/>
      <c r="CA17" s="49"/>
      <c r="CB17" s="57"/>
    </row>
    <row r="18" spans="1:81" ht="15" thickBot="1" x14ac:dyDescent="0.35">
      <c r="A18" s="86"/>
      <c r="B18" s="88"/>
      <c r="C18" s="16" t="s">
        <v>11</v>
      </c>
      <c r="D18" s="41">
        <v>0.125</v>
      </c>
      <c r="E18" s="6">
        <v>44581</v>
      </c>
      <c r="F18" s="43">
        <v>0.56944444444444442</v>
      </c>
      <c r="G18" s="74">
        <v>44581</v>
      </c>
      <c r="H18" s="43">
        <v>0.69444444444444453</v>
      </c>
      <c r="I18" s="52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8"/>
      <c r="AG18" s="52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8"/>
      <c r="BE18" s="73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50"/>
      <c r="BY18" s="50"/>
      <c r="BZ18" s="50"/>
      <c r="CA18" s="50"/>
      <c r="CB18" s="58"/>
      <c r="CC18" s="66"/>
    </row>
    <row r="19" spans="1:81" x14ac:dyDescent="0.3">
      <c r="A19" s="85" t="s">
        <v>33</v>
      </c>
      <c r="B19" s="87" t="s">
        <v>21</v>
      </c>
      <c r="C19" s="15" t="s">
        <v>10</v>
      </c>
      <c r="D19" s="3">
        <v>6.25E-2</v>
      </c>
      <c r="E19" s="4">
        <v>44581</v>
      </c>
      <c r="F19" s="42">
        <v>0.61111111111111105</v>
      </c>
      <c r="G19" s="4">
        <v>44581</v>
      </c>
      <c r="H19" s="42">
        <v>0.67361111111111116</v>
      </c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57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57"/>
      <c r="BE19" s="49"/>
      <c r="BF19" s="49"/>
      <c r="BG19" s="49"/>
      <c r="BH19" s="49"/>
      <c r="BI19" s="49"/>
      <c r="BJ19" s="49"/>
      <c r="BK19" s="61"/>
      <c r="BL19" s="61"/>
      <c r="BM19" s="61"/>
      <c r="BN19" s="61"/>
      <c r="BO19" s="61"/>
      <c r="BP19" s="61"/>
      <c r="BQ19" s="61"/>
      <c r="BR19" s="61"/>
      <c r="BS19" s="49"/>
      <c r="BT19" s="49"/>
      <c r="BU19" s="49"/>
      <c r="BV19" s="49"/>
      <c r="BW19" s="49"/>
      <c r="BX19" s="49"/>
      <c r="BY19" s="49"/>
      <c r="BZ19" s="49"/>
      <c r="CA19" s="49"/>
      <c r="CB19" s="57"/>
    </row>
    <row r="20" spans="1:81" ht="15" thickBot="1" x14ac:dyDescent="0.35">
      <c r="A20" s="86"/>
      <c r="B20" s="88"/>
      <c r="C20" s="16" t="s">
        <v>11</v>
      </c>
      <c r="D20" s="41">
        <v>2.0833333333333332E-2</v>
      </c>
      <c r="E20" s="6">
        <v>44581</v>
      </c>
      <c r="F20" s="43">
        <v>0.69444444444444453</v>
      </c>
      <c r="G20" s="74">
        <v>44581</v>
      </c>
      <c r="H20" s="43">
        <v>0.71527777777777779</v>
      </c>
      <c r="I20" s="52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8"/>
      <c r="AG20" s="52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8"/>
      <c r="BE20" s="52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72"/>
      <c r="BX20" s="72"/>
      <c r="BY20" s="72"/>
      <c r="BZ20" s="72"/>
      <c r="CA20" s="50"/>
      <c r="CB20" s="58"/>
      <c r="CC20" s="66"/>
    </row>
    <row r="21" spans="1:81" x14ac:dyDescent="0.3">
      <c r="A21" s="85" t="s">
        <v>34</v>
      </c>
      <c r="B21" s="87" t="s">
        <v>22</v>
      </c>
      <c r="C21" s="15" t="s">
        <v>10</v>
      </c>
      <c r="D21" s="3">
        <v>6.25E-2</v>
      </c>
      <c r="E21" s="4">
        <v>44567</v>
      </c>
      <c r="F21" s="3">
        <v>0.56944444444444442</v>
      </c>
      <c r="G21" s="4">
        <v>44567</v>
      </c>
      <c r="H21" s="42">
        <v>0.63194444444444442</v>
      </c>
      <c r="I21" s="62"/>
      <c r="J21" s="62"/>
      <c r="K21" s="62"/>
      <c r="L21" s="62"/>
      <c r="M21" s="62"/>
      <c r="N21" s="62"/>
      <c r="O21" s="62"/>
      <c r="P21" s="62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57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57"/>
      <c r="BE21" s="49"/>
      <c r="BF21" s="49"/>
      <c r="BG21" s="49"/>
      <c r="BH21" s="49"/>
      <c r="BI21" s="49"/>
      <c r="BJ21" s="49"/>
      <c r="BK21" s="49"/>
      <c r="BL21" s="49"/>
      <c r="BM21" s="49"/>
      <c r="BN21" s="49"/>
      <c r="BO21" s="49"/>
      <c r="BP21" s="49"/>
      <c r="BQ21" s="49"/>
      <c r="BR21" s="49"/>
      <c r="BS21" s="49"/>
      <c r="BT21" s="49"/>
      <c r="BU21" s="49"/>
      <c r="BV21" s="49"/>
      <c r="BW21" s="49"/>
      <c r="BX21" s="49"/>
      <c r="BY21" s="49"/>
      <c r="BZ21" s="49"/>
      <c r="CA21" s="49"/>
      <c r="CB21" s="57"/>
    </row>
    <row r="22" spans="1:81" ht="15" thickBot="1" x14ac:dyDescent="0.35">
      <c r="A22" s="86"/>
      <c r="B22" s="88"/>
      <c r="C22" s="16" t="s">
        <v>11</v>
      </c>
      <c r="D22" s="41">
        <v>0.14583333333333334</v>
      </c>
      <c r="E22" s="6">
        <v>44567</v>
      </c>
      <c r="F22" s="5">
        <v>0.56944444444444442</v>
      </c>
      <c r="G22" s="6">
        <v>44567</v>
      </c>
      <c r="H22" s="43">
        <v>0.70833333333333337</v>
      </c>
      <c r="I22" s="67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50"/>
      <c r="AD22" s="50"/>
      <c r="AE22" s="50"/>
      <c r="AF22" s="58"/>
      <c r="AG22" s="52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8"/>
      <c r="BE22" s="52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8"/>
    </row>
    <row r="23" spans="1:81" x14ac:dyDescent="0.3">
      <c r="A23" s="85" t="s">
        <v>35</v>
      </c>
      <c r="B23" s="87" t="s">
        <v>22</v>
      </c>
      <c r="C23" s="15" t="s">
        <v>10</v>
      </c>
      <c r="D23" s="3">
        <v>6.25E-2</v>
      </c>
      <c r="E23" s="4">
        <v>44567</v>
      </c>
      <c r="F23" s="3">
        <v>0.63194444444444442</v>
      </c>
      <c r="G23" s="4">
        <v>44567</v>
      </c>
      <c r="H23" s="42">
        <v>0.69444444444444453</v>
      </c>
      <c r="I23" s="49"/>
      <c r="J23" s="49"/>
      <c r="K23" s="49"/>
      <c r="L23" s="49"/>
      <c r="M23" s="49"/>
      <c r="N23" s="49"/>
      <c r="O23" s="49"/>
      <c r="P23" s="49"/>
      <c r="Q23" s="49"/>
      <c r="R23" s="62"/>
      <c r="S23" s="62"/>
      <c r="T23" s="62"/>
      <c r="U23" s="62"/>
      <c r="V23" s="62"/>
      <c r="W23" s="62"/>
      <c r="X23" s="62"/>
      <c r="Y23" s="62"/>
      <c r="Z23" s="49"/>
      <c r="AA23" s="49"/>
      <c r="AB23" s="49"/>
      <c r="AC23" s="49"/>
      <c r="AD23" s="49"/>
      <c r="AE23" s="49"/>
      <c r="AF23" s="57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57"/>
      <c r="BE23" s="49"/>
      <c r="BF23" s="49"/>
      <c r="BG23" s="49"/>
      <c r="BH23" s="49"/>
      <c r="BI23" s="49"/>
      <c r="BJ23" s="49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9"/>
      <c r="BW23" s="49"/>
      <c r="BX23" s="49"/>
      <c r="BY23" s="49"/>
      <c r="BZ23" s="49"/>
      <c r="CA23" s="49"/>
      <c r="CB23" s="57"/>
    </row>
    <row r="24" spans="1:81" ht="15" thickBot="1" x14ac:dyDescent="0.35">
      <c r="A24" s="86"/>
      <c r="B24" s="88"/>
      <c r="C24" s="16" t="s">
        <v>11</v>
      </c>
      <c r="D24" s="41">
        <v>8.3333333333333329E-2</v>
      </c>
      <c r="E24" s="6">
        <v>44567</v>
      </c>
      <c r="F24" s="5">
        <v>0.70833333333333337</v>
      </c>
      <c r="G24" s="6">
        <v>44574</v>
      </c>
      <c r="H24" s="43">
        <v>0.58333333333333337</v>
      </c>
      <c r="I24" s="52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68"/>
      <c r="AD24" s="68"/>
      <c r="AE24" s="68"/>
      <c r="AF24" s="78"/>
      <c r="AG24" s="69"/>
      <c r="AH24" s="68"/>
      <c r="AI24" s="68"/>
      <c r="AJ24" s="68"/>
      <c r="AK24" s="68"/>
      <c r="AL24" s="68"/>
      <c r="AM24" s="68"/>
      <c r="AN24" s="68"/>
      <c r="AO24" s="68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8"/>
      <c r="BE24" s="52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8"/>
    </row>
    <row r="25" spans="1:81" x14ac:dyDescent="0.3">
      <c r="A25" s="85" t="s">
        <v>36</v>
      </c>
      <c r="B25" s="87" t="s">
        <v>22</v>
      </c>
      <c r="C25" s="15" t="s">
        <v>10</v>
      </c>
      <c r="D25" s="3">
        <v>2.0833333333333332E-2</v>
      </c>
      <c r="E25" s="4">
        <v>44567</v>
      </c>
      <c r="F25" s="3">
        <v>0.6875</v>
      </c>
      <c r="G25" s="4">
        <v>44567</v>
      </c>
      <c r="H25" s="42">
        <v>0.70833333333333337</v>
      </c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62"/>
      <c r="AA25" s="62"/>
      <c r="AB25" s="62"/>
      <c r="AC25" s="62"/>
      <c r="AD25" s="49"/>
      <c r="AE25" s="49"/>
      <c r="AF25" s="57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57"/>
      <c r="BE25" s="49"/>
      <c r="BF25" s="49"/>
      <c r="BG25" s="49"/>
      <c r="BH25" s="49"/>
      <c r="BI25" s="49"/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49"/>
      <c r="CA25" s="49"/>
      <c r="CB25" s="57"/>
    </row>
    <row r="26" spans="1:81" ht="15" thickBot="1" x14ac:dyDescent="0.35">
      <c r="A26" s="86"/>
      <c r="B26" s="88"/>
      <c r="C26" s="16" t="s">
        <v>11</v>
      </c>
      <c r="D26" s="41">
        <v>2.0833333333333332E-2</v>
      </c>
      <c r="E26" s="6">
        <v>44574</v>
      </c>
      <c r="F26" s="5">
        <v>0.58333333333333337</v>
      </c>
      <c r="G26" s="6">
        <v>44574</v>
      </c>
      <c r="H26" s="43">
        <v>0.60416666666666663</v>
      </c>
      <c r="I26" s="52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8"/>
      <c r="AG26" s="52"/>
      <c r="AH26" s="50"/>
      <c r="AI26" s="68"/>
      <c r="AJ26" s="68"/>
      <c r="AK26" s="68"/>
      <c r="AL26" s="68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8"/>
      <c r="BE26" s="52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8"/>
    </row>
    <row r="27" spans="1:81" x14ac:dyDescent="0.3">
      <c r="A27" s="85" t="s">
        <v>37</v>
      </c>
      <c r="B27" s="87" t="s">
        <v>22</v>
      </c>
      <c r="C27" s="15" t="s">
        <v>10</v>
      </c>
      <c r="D27" s="3">
        <v>2.7777777777777776E-2</v>
      </c>
      <c r="E27" s="4">
        <v>44567</v>
      </c>
      <c r="F27" s="3">
        <v>0.56944444444444442</v>
      </c>
      <c r="G27" s="4">
        <v>44567</v>
      </c>
      <c r="H27" s="42">
        <v>0.59722222222222221</v>
      </c>
      <c r="I27" s="62"/>
      <c r="J27" s="62"/>
      <c r="K27" s="62"/>
      <c r="L27" s="62"/>
      <c r="M27" s="62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57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57"/>
      <c r="BE27" s="49"/>
      <c r="BF27" s="49"/>
      <c r="BG27" s="49"/>
      <c r="BH27" s="49"/>
      <c r="BI27" s="49"/>
      <c r="BJ27" s="49"/>
      <c r="BK27" s="49"/>
      <c r="BL27" s="49"/>
      <c r="BM27" s="49"/>
      <c r="BN27" s="49"/>
      <c r="BO27" s="49"/>
      <c r="BP27" s="49"/>
      <c r="BQ27" s="49"/>
      <c r="BR27" s="49"/>
      <c r="BS27" s="49"/>
      <c r="BT27" s="49"/>
      <c r="BU27" s="49"/>
      <c r="BV27" s="49"/>
      <c r="BW27" s="49"/>
      <c r="BX27" s="49"/>
      <c r="BY27" s="49"/>
      <c r="BZ27" s="49"/>
      <c r="CA27" s="49"/>
      <c r="CB27" s="57"/>
    </row>
    <row r="28" spans="1:81" ht="15" thickBot="1" x14ac:dyDescent="0.35">
      <c r="A28" s="86"/>
      <c r="B28" s="88"/>
      <c r="C28" s="16" t="s">
        <v>11</v>
      </c>
      <c r="D28" s="41"/>
      <c r="E28" s="6"/>
      <c r="F28" s="5"/>
      <c r="G28" s="6"/>
      <c r="H28" s="43"/>
      <c r="I28" s="52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8"/>
      <c r="AG28" s="52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8"/>
      <c r="BE28" s="52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8"/>
      <c r="CC28" s="70"/>
    </row>
    <row r="29" spans="1:81" x14ac:dyDescent="0.3">
      <c r="A29" s="85" t="s">
        <v>38</v>
      </c>
      <c r="B29" s="87" t="s">
        <v>22</v>
      </c>
      <c r="C29" s="15" t="s">
        <v>10</v>
      </c>
      <c r="D29" s="3">
        <v>2.7777777777777776E-2</v>
      </c>
      <c r="E29" s="4">
        <v>44567</v>
      </c>
      <c r="F29" s="3">
        <v>0.56944444444444442</v>
      </c>
      <c r="G29" s="4">
        <v>44567</v>
      </c>
      <c r="H29" s="42">
        <v>0.59722222222222221</v>
      </c>
      <c r="I29" s="62"/>
      <c r="J29" s="62"/>
      <c r="K29" s="62"/>
      <c r="L29" s="62"/>
      <c r="M29" s="62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57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57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  <c r="BT29" s="49"/>
      <c r="BU29" s="49"/>
      <c r="BV29" s="49"/>
      <c r="BW29" s="49"/>
      <c r="BX29" s="49"/>
      <c r="BY29" s="49"/>
      <c r="BZ29" s="49"/>
      <c r="CA29" s="49"/>
      <c r="CB29" s="57"/>
    </row>
    <row r="30" spans="1:81" ht="15" thickBot="1" x14ac:dyDescent="0.35">
      <c r="A30" s="86"/>
      <c r="B30" s="88"/>
      <c r="C30" s="16" t="s">
        <v>11</v>
      </c>
      <c r="D30" s="41"/>
      <c r="E30" s="6"/>
      <c r="F30" s="5"/>
      <c r="G30" s="6"/>
      <c r="H30" s="43"/>
      <c r="I30" s="52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8"/>
      <c r="AG30" s="52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8"/>
      <c r="BE30" s="52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8"/>
      <c r="CC30" s="70"/>
    </row>
    <row r="31" spans="1:81" x14ac:dyDescent="0.3">
      <c r="A31" s="85" t="s">
        <v>39</v>
      </c>
      <c r="B31" s="87" t="s">
        <v>22</v>
      </c>
      <c r="C31" s="15" t="s">
        <v>10</v>
      </c>
      <c r="D31" s="3">
        <v>2.7777777777777776E-2</v>
      </c>
      <c r="E31" s="4">
        <v>44567</v>
      </c>
      <c r="F31" s="3">
        <v>0.56944444444444442</v>
      </c>
      <c r="G31" s="4">
        <v>44567</v>
      </c>
      <c r="H31" s="42">
        <v>0.59722222222222221</v>
      </c>
      <c r="I31" s="62"/>
      <c r="J31" s="62"/>
      <c r="K31" s="62"/>
      <c r="L31" s="62"/>
      <c r="M31" s="62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57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57"/>
      <c r="BE31" s="49"/>
      <c r="BF31" s="49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49"/>
      <c r="BT31" s="49"/>
      <c r="BU31" s="49"/>
      <c r="BV31" s="49"/>
      <c r="BW31" s="49"/>
      <c r="BX31" s="49"/>
      <c r="BY31" s="49"/>
      <c r="BZ31" s="49"/>
      <c r="CA31" s="49"/>
      <c r="CB31" s="57"/>
    </row>
    <row r="32" spans="1:81" ht="15" thickBot="1" x14ac:dyDescent="0.35">
      <c r="A32" s="86"/>
      <c r="B32" s="88"/>
      <c r="C32" s="16" t="s">
        <v>11</v>
      </c>
      <c r="D32" s="41"/>
      <c r="E32" s="6"/>
      <c r="F32" s="5"/>
      <c r="G32" s="6"/>
      <c r="H32" s="43"/>
      <c r="I32" s="52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8"/>
      <c r="AG32" s="52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8"/>
      <c r="BE32" s="52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8"/>
      <c r="CC32" s="70"/>
    </row>
    <row r="33" spans="1:81" x14ac:dyDescent="0.3">
      <c r="A33" s="85" t="s">
        <v>40</v>
      </c>
      <c r="B33" s="87" t="s">
        <v>22</v>
      </c>
      <c r="C33" s="15" t="s">
        <v>10</v>
      </c>
      <c r="D33" s="3">
        <v>2.7777777777777776E-2</v>
      </c>
      <c r="E33" s="4">
        <v>44567</v>
      </c>
      <c r="F33" s="3">
        <v>0.56944444444444442</v>
      </c>
      <c r="G33" s="4">
        <v>44567</v>
      </c>
      <c r="H33" s="42">
        <v>0.59722222222222221</v>
      </c>
      <c r="I33" s="62"/>
      <c r="J33" s="62"/>
      <c r="K33" s="62"/>
      <c r="L33" s="62"/>
      <c r="M33" s="62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57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57"/>
      <c r="BE33" s="49"/>
      <c r="BF33" s="49"/>
      <c r="BG33" s="49"/>
      <c r="BH33" s="49"/>
      <c r="BI33" s="49"/>
      <c r="BJ33" s="49"/>
      <c r="BK33" s="49"/>
      <c r="BL33" s="49"/>
      <c r="BM33" s="49"/>
      <c r="BN33" s="49"/>
      <c r="BO33" s="49"/>
      <c r="BP33" s="49"/>
      <c r="BQ33" s="49"/>
      <c r="BR33" s="49"/>
      <c r="BS33" s="49"/>
      <c r="BT33" s="49"/>
      <c r="BU33" s="49"/>
      <c r="BV33" s="49"/>
      <c r="BW33" s="49"/>
      <c r="BX33" s="49"/>
      <c r="BY33" s="49"/>
      <c r="BZ33" s="49"/>
      <c r="CA33" s="49"/>
      <c r="CB33" s="57"/>
    </row>
    <row r="34" spans="1:81" ht="15" thickBot="1" x14ac:dyDescent="0.35">
      <c r="A34" s="86"/>
      <c r="B34" s="88"/>
      <c r="C34" s="16" t="s">
        <v>11</v>
      </c>
      <c r="D34" s="41"/>
      <c r="E34" s="6"/>
      <c r="F34" s="5"/>
      <c r="G34" s="6"/>
      <c r="H34" s="43"/>
      <c r="I34" s="52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8"/>
      <c r="AG34" s="52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8"/>
      <c r="BE34" s="52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8"/>
      <c r="CC34" s="70"/>
    </row>
    <row r="35" spans="1:81" x14ac:dyDescent="0.3">
      <c r="A35" s="85" t="s">
        <v>41</v>
      </c>
      <c r="B35" s="87" t="s">
        <v>23</v>
      </c>
      <c r="C35" s="15" t="s">
        <v>10</v>
      </c>
      <c r="D35" s="3">
        <v>4.1666666666666664E-2</v>
      </c>
      <c r="E35" s="4">
        <v>44567</v>
      </c>
      <c r="F35" s="3">
        <v>0.69444444444444453</v>
      </c>
      <c r="G35" s="4">
        <v>44567</v>
      </c>
      <c r="H35" s="42">
        <v>0.72916666666666663</v>
      </c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60"/>
      <c r="AB35" s="60"/>
      <c r="AC35" s="60"/>
      <c r="AD35" s="60"/>
      <c r="AE35" s="60"/>
      <c r="AF35" s="76"/>
      <c r="AG35" s="60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57"/>
      <c r="BE35" s="49"/>
      <c r="BF35" s="49"/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49"/>
      <c r="CA35" s="49"/>
      <c r="CB35" s="57"/>
    </row>
    <row r="36" spans="1:81" ht="15" thickBot="1" x14ac:dyDescent="0.35">
      <c r="A36" s="86"/>
      <c r="B36" s="88"/>
      <c r="C36" s="16" t="s">
        <v>11</v>
      </c>
      <c r="D36" s="41">
        <v>45.034722222222221</v>
      </c>
      <c r="E36" s="6">
        <v>44567</v>
      </c>
      <c r="F36" s="5">
        <v>0.70138888888888884</v>
      </c>
      <c r="G36" s="6">
        <v>44567</v>
      </c>
      <c r="H36" s="43">
        <v>0.72916666666666663</v>
      </c>
      <c r="I36" s="52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64"/>
      <c r="AC36" s="64"/>
      <c r="AD36" s="64"/>
      <c r="AE36" s="64"/>
      <c r="AF36" s="79"/>
      <c r="AG36" s="71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8"/>
      <c r="BE36" s="52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8"/>
    </row>
    <row r="37" spans="1:81" x14ac:dyDescent="0.3">
      <c r="A37" s="85" t="s">
        <v>42</v>
      </c>
      <c r="B37" s="87" t="s">
        <v>23</v>
      </c>
      <c r="C37" s="15" t="s">
        <v>10</v>
      </c>
      <c r="D37" s="3">
        <v>8.3333333333333329E-2</v>
      </c>
      <c r="E37" s="4">
        <v>44574</v>
      </c>
      <c r="F37" s="3">
        <v>0.56944444444444442</v>
      </c>
      <c r="G37" s="4">
        <v>44574</v>
      </c>
      <c r="H37" s="42">
        <v>0.65277777777777779</v>
      </c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57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57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9"/>
      <c r="BW37" s="49"/>
      <c r="BX37" s="49"/>
      <c r="BY37" s="49"/>
      <c r="BZ37" s="49"/>
      <c r="CA37" s="49"/>
      <c r="CB37" s="57"/>
    </row>
    <row r="38" spans="1:81" ht="15" thickBot="1" x14ac:dyDescent="0.35">
      <c r="A38" s="86"/>
      <c r="B38" s="88"/>
      <c r="C38" s="16" t="s">
        <v>11</v>
      </c>
      <c r="D38" s="41"/>
      <c r="E38" s="6"/>
      <c r="F38" s="5"/>
      <c r="G38" s="6"/>
      <c r="H38" s="43"/>
      <c r="I38" s="52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8"/>
      <c r="AG38" s="52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8"/>
      <c r="BE38" s="52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8"/>
      <c r="CC38" s="65"/>
    </row>
    <row r="39" spans="1:81" x14ac:dyDescent="0.3">
      <c r="A39" s="85" t="s">
        <v>43</v>
      </c>
      <c r="B39" s="87" t="s">
        <v>23</v>
      </c>
      <c r="C39" s="15" t="s">
        <v>10</v>
      </c>
      <c r="D39" s="3">
        <v>4.1666666666666664E-2</v>
      </c>
      <c r="E39" s="4">
        <v>44574</v>
      </c>
      <c r="F39" s="42">
        <v>0.65277777777777779</v>
      </c>
      <c r="G39" s="4">
        <v>44574</v>
      </c>
      <c r="H39" s="42">
        <v>0.69444444444444453</v>
      </c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57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60"/>
      <c r="AT39" s="60"/>
      <c r="AU39" s="60"/>
      <c r="AV39" s="60"/>
      <c r="AW39" s="60"/>
      <c r="AX39" s="60"/>
      <c r="AY39" s="60"/>
      <c r="AZ39" s="49"/>
      <c r="BA39" s="49"/>
      <c r="BB39" s="49"/>
      <c r="BC39" s="49"/>
      <c r="BD39" s="57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57"/>
    </row>
    <row r="40" spans="1:81" ht="15" thickBot="1" x14ac:dyDescent="0.35">
      <c r="A40" s="86"/>
      <c r="B40" s="88"/>
      <c r="C40" s="16" t="s">
        <v>11</v>
      </c>
      <c r="D40" s="41">
        <v>3.4722222222222224E-2</v>
      </c>
      <c r="E40" s="6">
        <v>44574</v>
      </c>
      <c r="F40" s="5">
        <v>0.65277777777777779</v>
      </c>
      <c r="G40" s="6">
        <v>44574</v>
      </c>
      <c r="H40" s="43">
        <v>0.6875</v>
      </c>
      <c r="I40" s="52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8"/>
      <c r="AG40" s="52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64"/>
      <c r="AT40" s="64"/>
      <c r="AU40" s="64"/>
      <c r="AV40" s="64"/>
      <c r="AW40" s="64"/>
      <c r="AX40" s="64"/>
      <c r="AY40" s="50"/>
      <c r="AZ40" s="50"/>
      <c r="BA40" s="50"/>
      <c r="BB40" s="50"/>
      <c r="BC40" s="50"/>
      <c r="BD40" s="58"/>
      <c r="BE40" s="52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8"/>
      <c r="CC40" s="65"/>
    </row>
    <row r="41" spans="1:81" x14ac:dyDescent="0.3">
      <c r="A41" s="85" t="s">
        <v>44</v>
      </c>
      <c r="B41" s="87" t="s">
        <v>23</v>
      </c>
      <c r="C41" s="15" t="s">
        <v>10</v>
      </c>
      <c r="D41" s="3">
        <v>2.7777777777777776E-2</v>
      </c>
      <c r="E41" s="4">
        <v>44567</v>
      </c>
      <c r="F41" s="3">
        <v>0.56944444444444442</v>
      </c>
      <c r="G41" s="4">
        <v>44567</v>
      </c>
      <c r="H41" s="42">
        <v>0.59722222222222221</v>
      </c>
      <c r="I41" s="60"/>
      <c r="J41" s="60"/>
      <c r="K41" s="60"/>
      <c r="L41" s="60"/>
      <c r="M41" s="60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57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57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57"/>
    </row>
    <row r="42" spans="1:81" ht="15" thickBot="1" x14ac:dyDescent="0.35">
      <c r="A42" s="86"/>
      <c r="B42" s="88"/>
      <c r="C42" s="16" t="s">
        <v>11</v>
      </c>
      <c r="D42" s="41"/>
      <c r="E42" s="6"/>
      <c r="F42" s="5"/>
      <c r="G42" s="6"/>
      <c r="H42" s="43"/>
      <c r="I42" s="52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8"/>
      <c r="AG42" s="52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8"/>
      <c r="BE42" s="52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8"/>
      <c r="CC42" s="65"/>
    </row>
    <row r="43" spans="1:81" x14ac:dyDescent="0.3">
      <c r="A43" s="85" t="s">
        <v>49</v>
      </c>
      <c r="B43" s="87" t="s">
        <v>21</v>
      </c>
      <c r="C43" s="15" t="s">
        <v>10</v>
      </c>
      <c r="D43" s="3">
        <v>2.0833333333333332E-2</v>
      </c>
      <c r="E43" s="4">
        <v>44567</v>
      </c>
      <c r="F43" s="3">
        <v>0.64583333333333337</v>
      </c>
      <c r="G43" s="4">
        <v>44567</v>
      </c>
      <c r="H43" s="42">
        <v>0.66666666666666663</v>
      </c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61"/>
      <c r="U43" s="61"/>
      <c r="V43" s="61"/>
      <c r="W43" s="61"/>
      <c r="X43" s="49"/>
      <c r="Y43" s="49"/>
      <c r="Z43" s="49"/>
      <c r="AA43" s="49"/>
      <c r="AB43" s="49"/>
      <c r="AC43" s="49"/>
      <c r="AD43" s="49"/>
      <c r="AE43" s="49"/>
      <c r="AF43" s="57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57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57"/>
    </row>
    <row r="44" spans="1:81" ht="15" thickBot="1" x14ac:dyDescent="0.35">
      <c r="A44" s="86"/>
      <c r="B44" s="88"/>
      <c r="C44" s="16" t="s">
        <v>11</v>
      </c>
      <c r="D44" s="41">
        <v>2.7777777777777776E-2</v>
      </c>
      <c r="E44" s="6">
        <v>44567</v>
      </c>
      <c r="F44" s="5">
        <v>0.64583333333333337</v>
      </c>
      <c r="G44" s="6">
        <v>44567</v>
      </c>
      <c r="H44" s="43">
        <v>0.67361111111111116</v>
      </c>
      <c r="I44" s="52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72"/>
      <c r="U44" s="72"/>
      <c r="V44" s="72"/>
      <c r="W44" s="72"/>
      <c r="X44" s="72"/>
      <c r="Y44" s="50"/>
      <c r="Z44" s="50"/>
      <c r="AA44" s="50"/>
      <c r="AB44" s="50"/>
      <c r="AC44" s="50"/>
      <c r="AD44" s="50"/>
      <c r="AE44" s="50"/>
      <c r="AF44" s="58"/>
      <c r="AG44" s="52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8"/>
      <c r="BE44" s="52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8"/>
    </row>
    <row r="45" spans="1:81" x14ac:dyDescent="0.3">
      <c r="A45" s="85" t="s">
        <v>50</v>
      </c>
      <c r="B45" s="87" t="s">
        <v>21</v>
      </c>
      <c r="C45" s="15" t="s">
        <v>10</v>
      </c>
      <c r="D45" s="3">
        <v>6.25E-2</v>
      </c>
      <c r="E45" s="4">
        <v>44567</v>
      </c>
      <c r="F45" s="3">
        <v>0.66666666666666663</v>
      </c>
      <c r="G45" s="4">
        <v>44567</v>
      </c>
      <c r="H45" s="42">
        <v>0.72916666666666663</v>
      </c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61"/>
      <c r="X45" s="61"/>
      <c r="Y45" s="61"/>
      <c r="Z45" s="61"/>
      <c r="AA45" s="61"/>
      <c r="AB45" s="61"/>
      <c r="AC45" s="61"/>
      <c r="AD45" s="61"/>
      <c r="AE45" s="49"/>
      <c r="AF45" s="57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57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49"/>
      <c r="CA45" s="49"/>
      <c r="CB45" s="57"/>
    </row>
    <row r="46" spans="1:81" ht="15" thickBot="1" x14ac:dyDescent="0.35">
      <c r="A46" s="86"/>
      <c r="B46" s="88"/>
      <c r="C46" s="16" t="s">
        <v>11</v>
      </c>
      <c r="D46" s="41">
        <v>0.1111111111111111</v>
      </c>
      <c r="E46" s="6">
        <v>44567</v>
      </c>
      <c r="F46" s="5">
        <v>0.66666666666666663</v>
      </c>
      <c r="G46" s="6">
        <v>44574</v>
      </c>
      <c r="H46" s="43">
        <v>0.63194444444444442</v>
      </c>
      <c r="I46" s="52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72"/>
      <c r="X46" s="72"/>
      <c r="Y46" s="72"/>
      <c r="Z46" s="72"/>
      <c r="AA46" s="72"/>
      <c r="AB46" s="72"/>
      <c r="AC46" s="72"/>
      <c r="AD46" s="72"/>
      <c r="AE46" s="72"/>
      <c r="AF46" s="77"/>
      <c r="AG46" s="73"/>
      <c r="AH46" s="72"/>
      <c r="AI46" s="72"/>
      <c r="AJ46" s="72"/>
      <c r="AK46" s="72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8"/>
      <c r="BE46" s="52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8"/>
    </row>
    <row r="47" spans="1:81" x14ac:dyDescent="0.3">
      <c r="C47" s="13"/>
      <c r="D47" s="13"/>
      <c r="E47" s="13"/>
      <c r="F47" s="13"/>
      <c r="G47" s="13"/>
      <c r="H47" s="13"/>
    </row>
    <row r="48" spans="1:81" x14ac:dyDescent="0.3">
      <c r="C48" s="13"/>
      <c r="D48" s="13"/>
      <c r="E48" s="13"/>
      <c r="F48" s="13"/>
      <c r="G48" s="13"/>
      <c r="H48" s="13"/>
    </row>
    <row r="49" spans="3:8" x14ac:dyDescent="0.3">
      <c r="C49" s="13"/>
      <c r="D49" s="13"/>
      <c r="E49" s="13"/>
      <c r="F49" s="13"/>
      <c r="G49" s="13"/>
      <c r="H49" s="13"/>
    </row>
    <row r="50" spans="3:8" x14ac:dyDescent="0.3">
      <c r="C50" s="13"/>
      <c r="D50" s="13"/>
      <c r="E50" s="13"/>
      <c r="F50" s="13"/>
      <c r="G50" s="17"/>
      <c r="H50" s="13"/>
    </row>
    <row r="51" spans="3:8" x14ac:dyDescent="0.3">
      <c r="C51" s="13"/>
      <c r="D51" s="13"/>
      <c r="E51" s="13"/>
      <c r="F51" s="13"/>
      <c r="G51" s="18"/>
      <c r="H51" s="18"/>
    </row>
    <row r="52" spans="3:8" x14ac:dyDescent="0.3">
      <c r="E52" s="18"/>
      <c r="F52" s="18"/>
    </row>
  </sheetData>
  <sheetProtection deleteColumns="0" deleteRows="0" selectLockedCells="1"/>
  <customSheetViews>
    <customSheetView guid="{78312A73-AC8F-479B-A6DF-CEE5C8926EBB}">
      <selection activeCell="F15" sqref="F14:F15"/>
      <pageMargins left="0.7" right="0.7" top="0.75" bottom="0.75" header="0.3" footer="0.3"/>
      <pageSetup paperSize="9" orientation="portrait" horizontalDpi="4294967293" verticalDpi="0" r:id="rId1"/>
    </customSheetView>
  </customSheetViews>
  <mergeCells count="42">
    <mergeCell ref="A43:A44"/>
    <mergeCell ref="B43:B44"/>
    <mergeCell ref="A45:A46"/>
    <mergeCell ref="B45:B46"/>
    <mergeCell ref="A39:A40"/>
    <mergeCell ref="B39:B40"/>
    <mergeCell ref="A41:A42"/>
    <mergeCell ref="B41:B42"/>
    <mergeCell ref="A33:A34"/>
    <mergeCell ref="B33:B34"/>
    <mergeCell ref="A35:A36"/>
    <mergeCell ref="B35:B36"/>
    <mergeCell ref="A37:A38"/>
    <mergeCell ref="B37:B38"/>
    <mergeCell ref="A27:A28"/>
    <mergeCell ref="B27:B28"/>
    <mergeCell ref="A29:A30"/>
    <mergeCell ref="B29:B30"/>
    <mergeCell ref="A31:A32"/>
    <mergeCell ref="B31:B32"/>
    <mergeCell ref="A21:A22"/>
    <mergeCell ref="B21:B22"/>
    <mergeCell ref="A23:A24"/>
    <mergeCell ref="B23:B24"/>
    <mergeCell ref="A25:A26"/>
    <mergeCell ref="B25:B26"/>
    <mergeCell ref="A15:A16"/>
    <mergeCell ref="B15:B16"/>
    <mergeCell ref="A17:A18"/>
    <mergeCell ref="B17:B18"/>
    <mergeCell ref="A19:A20"/>
    <mergeCell ref="B19:B20"/>
    <mergeCell ref="A11:A12"/>
    <mergeCell ref="B9:B10"/>
    <mergeCell ref="B11:B12"/>
    <mergeCell ref="A13:A14"/>
    <mergeCell ref="B13:B14"/>
    <mergeCell ref="I8:AF8"/>
    <mergeCell ref="AG8:BD8"/>
    <mergeCell ref="BE8:CB8"/>
    <mergeCell ref="I2:CB3"/>
    <mergeCell ref="A9:A10"/>
  </mergeCells>
  <dataValidations count="5">
    <dataValidation type="date" allowBlank="1" showInputMessage="1" showErrorMessage="1" errorTitle="ErreurDate" error="La date doit correspondre à une date de séance" sqref="G11 G15 G17 G19 G21 G23 G25 G27 G29 G31 G33 G35 G37 G39 G41 G43 G45 E13 E15:E17 E19 E9:E11 E21:E39 E41:E46" xr:uid="{00000000-0002-0000-0000-000000000000}">
      <formula1>$B$7</formula1>
      <formula2>$A$2</formula2>
    </dataValidation>
    <dataValidation type="whole" showInputMessage="1" showErrorMessage="1" error="Le nombre de séances doit être compris entre 1 et 5" sqref="A7" xr:uid="{00000000-0002-0000-0000-000001000000}">
      <formula1>1</formula1>
      <formula2>10</formula2>
    </dataValidation>
    <dataValidation type="date" allowBlank="1" showInputMessage="1" showErrorMessage="1" errorTitle="ErreurDate" error="La date doit correspondre à une date de séance" sqref="G9:G10 G12:G14 G16 G18 E20 G22 G24 G26 G28 G30 G32 G34 G36 G38 E40 G42 G44 G46 E14 E18 G20 E12 G40" xr:uid="{00000000-0002-0000-0000-000002000000}">
      <formula1>$F$7</formula1>
      <formula2>$D$3</formula2>
    </dataValidation>
    <dataValidation type="time" allowBlank="1" showInputMessage="1" showErrorMessage="1" errorTitle="ErreurHeure2" error="L'heure de fin doit être comprise entre 13h40 et 17h30" sqref="H9:H46 F14 F17:F20 F39" xr:uid="{00000000-0002-0000-0000-000003000000}">
      <formula1>0.5625</formula1>
      <formula2>0.729166666666667</formula2>
    </dataValidation>
    <dataValidation type="time" allowBlank="1" showInputMessage="1" showErrorMessage="1" errorTitle="ErreurHeure" error="L'heure de début doit être comprise entre 13h40 et 17h30" sqref="F9:F13 F15:F16 F21:F38 F40:F46" xr:uid="{00000000-0002-0000-0000-000004000000}">
      <formula1>0.5625</formula1>
      <formula2>0.708333333333333</formula2>
    </dataValidation>
  </dataValidations>
  <printOptions horizontalCentered="1" verticalCentered="1"/>
  <pageMargins left="0.11811023622047245" right="0.11811023622047245" top="0.74803149606299213" bottom="0.74803149606299213" header="0.31496062992125984" footer="0.31496062992125984"/>
  <pageSetup paperSize="9" scale="70" orientation="landscape" horizontalDpi="4294967293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5000000}">
          <x14:formula1>
            <xm:f>BDD!$B$2:$B$7</xm:f>
          </x14:formula1>
          <xm:sqref>B9:B46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7"/>
  <sheetViews>
    <sheetView workbookViewId="0">
      <selection activeCell="B6" sqref="B6"/>
    </sheetView>
  </sheetViews>
  <sheetFormatPr baseColWidth="10" defaultRowHeight="14.4" x14ac:dyDescent="0.3"/>
  <cols>
    <col min="1" max="1" width="11.33203125" customWidth="1"/>
    <col min="2" max="2" width="21.109375" customWidth="1"/>
  </cols>
  <sheetData>
    <row r="1" spans="1:2" ht="15" thickBot="1" x14ac:dyDescent="0.35">
      <c r="A1" s="33" t="s">
        <v>8</v>
      </c>
      <c r="B1" s="34" t="s">
        <v>9</v>
      </c>
    </row>
    <row r="2" spans="1:2" x14ac:dyDescent="0.3">
      <c r="A2" s="35">
        <v>1</v>
      </c>
      <c r="B2" s="36" t="s">
        <v>21</v>
      </c>
    </row>
    <row r="3" spans="1:2" x14ac:dyDescent="0.3">
      <c r="A3" s="1">
        <v>2</v>
      </c>
      <c r="B3" s="2" t="s">
        <v>22</v>
      </c>
    </row>
    <row r="4" spans="1:2" x14ac:dyDescent="0.3">
      <c r="A4" s="1">
        <v>3</v>
      </c>
      <c r="B4" s="2" t="s">
        <v>23</v>
      </c>
    </row>
    <row r="5" spans="1:2" x14ac:dyDescent="0.3">
      <c r="A5" s="1">
        <v>4</v>
      </c>
      <c r="B5" s="2" t="s">
        <v>24</v>
      </c>
    </row>
    <row r="6" spans="1:2" x14ac:dyDescent="0.3">
      <c r="A6" s="37">
        <v>5</v>
      </c>
      <c r="B6" s="38" t="s">
        <v>19</v>
      </c>
    </row>
    <row r="7" spans="1:2" ht="15" thickBot="1" x14ac:dyDescent="0.35">
      <c r="A7" s="39">
        <v>6</v>
      </c>
      <c r="B7" s="40" t="s">
        <v>20</v>
      </c>
    </row>
  </sheetData>
  <customSheetViews>
    <customSheetView guid="{78312A73-AC8F-479B-A6DF-CEE5C8926EBB}">
      <selection activeCell="B3" sqref="B3"/>
      <pageMargins left="0.7" right="0.7" top="0.75" bottom="0.75" header="0.3" footer="0.3"/>
    </customSheetView>
  </customSheetView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29B50BEA0D2741AB1E038188A3519A" ma:contentTypeVersion="7" ma:contentTypeDescription="Crée un document." ma:contentTypeScope="" ma:versionID="64e727b6bca7dee37db4a0574fb48d18">
  <xsd:schema xmlns:xsd="http://www.w3.org/2001/XMLSchema" xmlns:xs="http://www.w3.org/2001/XMLSchema" xmlns:p="http://schemas.microsoft.com/office/2006/metadata/properties" xmlns:ns2="d7cfc858-8767-4dd0-865d-c65b818d0def" targetNamespace="http://schemas.microsoft.com/office/2006/metadata/properties" ma:root="true" ma:fieldsID="6edc46aa68f86d806d04a2af6b6e934b" ns2:_="">
    <xsd:import namespace="d7cfc858-8767-4dd0-865d-c65b818d0d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cfc858-8767-4dd0-865d-c65b818d0d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D71CE98-6834-4146-A5D2-C2F26A765A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3C20E3-DE8D-447A-9CA3-C31BB3907B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cfc858-8767-4dd0-865d-c65b818d0d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DBCBE6-BF9F-4808-BE94-8110C56466FD}">
  <ds:schemaRefs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d7cfc858-8767-4dd0-865d-c65b818d0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Gantt</vt:lpstr>
      <vt:lpstr>BDD</vt:lpstr>
      <vt:lpstr>BDD!Equipier</vt:lpstr>
      <vt:lpstr>Equipier</vt:lpstr>
      <vt:lpstr>ListeEquipier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dalliers</dc:creator>
  <cp:lastModifiedBy>nolled</cp:lastModifiedBy>
  <cp:lastPrinted>2019-10-31T16:58:54Z</cp:lastPrinted>
  <dcterms:created xsi:type="dcterms:W3CDTF">2019-10-25T08:51:05Z</dcterms:created>
  <dcterms:modified xsi:type="dcterms:W3CDTF">2022-01-20T16:22:01Z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0x010100DF29B50BEA0D2741AB1E038188A3519A</vt:lpwstr>
  </property>
</Properties>
</file>